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33fb0f3f92b1f32/Documents/GitHub/RovCode-Pufferfish/Documentation/"/>
    </mc:Choice>
  </mc:AlternateContent>
  <xr:revisionPtr revIDLastSave="1" documentId="13_ncr:1_{4610BF80-8FF4-4C2E-9956-1D5C26B9FD9B}" xr6:coauthVersionLast="47" xr6:coauthVersionMax="47" xr10:uidLastSave="{5CD1990E-CFA8-42A2-9840-946C30761EA6}"/>
  <bookViews>
    <workbookView xWindow="-120" yWindow="-120" windowWidth="38640" windowHeight="21120" xr2:uid="{54CCDFC8-147C-4378-ADF3-C3E95698F92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9" i="1" l="1"/>
  <c r="L9" i="1" s="1"/>
  <c r="E17" i="1" s="1"/>
  <c r="N9" i="1" l="1"/>
  <c r="E18" i="1" s="1"/>
  <c r="M9" i="1"/>
  <c r="K8" i="1"/>
  <c r="N8" i="1" s="1"/>
  <c r="D18" i="1" s="1"/>
  <c r="K7" i="1"/>
  <c r="N7" i="1" s="1"/>
  <c r="C18" i="1" s="1"/>
  <c r="G18" i="1" s="1" a="1"/>
  <c r="G18" i="1" s="1"/>
  <c r="P18" i="1" s="1"/>
  <c r="P9" i="1" a="1"/>
  <c r="L7" i="1" l="1"/>
  <c r="M7" i="1"/>
  <c r="P9" i="1"/>
  <c r="Q9" i="1"/>
  <c r="R9" i="1"/>
  <c r="E19" i="1" s="1"/>
  <c r="M8" i="1"/>
  <c r="L8" i="1"/>
  <c r="P8" i="1" a="1"/>
  <c r="P7" i="1" a="1"/>
  <c r="C12" i="1" l="1"/>
  <c r="C17" i="1"/>
  <c r="D12" i="1"/>
  <c r="D17" i="1"/>
  <c r="R7" i="1"/>
  <c r="Q7" i="1"/>
  <c r="P7" i="1"/>
  <c r="P8" i="1"/>
  <c r="Q8" i="1"/>
  <c r="R8" i="1"/>
  <c r="G12" i="1" l="1" a="1"/>
  <c r="G12" i="1" s="1"/>
  <c r="P12" i="1" s="1"/>
  <c r="D13" i="1"/>
  <c r="D19" i="1"/>
  <c r="G17" i="1" a="1"/>
  <c r="G17" i="1" s="1"/>
  <c r="P17" i="1" s="1"/>
  <c r="C13" i="1"/>
  <c r="G13" i="1" s="1" a="1"/>
  <c r="G13" i="1" s="1"/>
  <c r="P13" i="1" s="1"/>
  <c r="C19" i="1"/>
  <c r="G19" i="1" s="1" a="1"/>
  <c r="G19" i="1" s="1"/>
  <c r="P19" i="1" s="1"/>
  <c r="I17" i="1" l="1" a="1"/>
  <c r="J17" i="1" s="1"/>
  <c r="I12" i="1" a="1"/>
  <c r="I12" i="1" s="1"/>
  <c r="R12" i="1" a="1"/>
  <c r="J18" i="1" l="1"/>
  <c r="K18" i="1"/>
  <c r="K17" i="1"/>
  <c r="I19" i="1"/>
  <c r="J19" i="1"/>
  <c r="K19" i="1"/>
  <c r="I18" i="1"/>
  <c r="I17" i="1"/>
  <c r="R17" i="1" s="1" a="1"/>
  <c r="R13" i="1"/>
  <c r="R12" i="1"/>
  <c r="R17" i="1" l="1"/>
  <c r="T17" i="1" l="1" a="1"/>
  <c r="T17" i="1" s="1"/>
  <c r="U18" i="1" s="1"/>
  <c r="W18" i="1" s="1"/>
  <c r="P22" i="1" a="1"/>
  <c r="U19" i="1" l="1"/>
  <c r="W19" i="1" s="1"/>
  <c r="U17" i="1"/>
  <c r="W17" i="1" s="1"/>
  <c r="P22" i="1"/>
  <c r="P23" i="1"/>
  <c r="P2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Steve Sergev</author>
  </authors>
  <commentList>
    <comment ref="M16" authorId="0" shapeId="0" xr:uid="{03EB8025-E6C7-4657-ABE7-14D9217758C3}">
      <text>
        <r>
          <rPr>
            <b/>
            <sz val="9"/>
            <color indexed="81"/>
            <rFont val="Tahoma"/>
            <family val="2"/>
          </rPr>
          <t>This is the pilot input between +/-1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16" authorId="0" shapeId="0" xr:uid="{0C127212-FA25-4C52-AB2B-D8E5F10886AC}">
      <text>
        <r>
          <rPr>
            <b/>
            <sz val="9"/>
            <color indexed="81"/>
            <rFont val="Tahoma"/>
            <family val="2"/>
          </rPr>
          <t>This value is 1 if none of the thrusters must produce more than it is capable of.  Otherwise, it is the absolute value of the largest thruster value.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<sst xmlns="http://schemas.openxmlformats.org/spreadsheetml/2006/main" count="59" uniqueCount="42">
  <si>
    <t>thruster</t>
  </si>
  <si>
    <t>Location</t>
  </si>
  <si>
    <t>x</t>
  </si>
  <si>
    <t>y</t>
  </si>
  <si>
    <t>z</t>
  </si>
  <si>
    <t>Direction of Thrust</t>
  </si>
  <si>
    <t>Here we assume COM/CG is at (0,0,0)</t>
  </si>
  <si>
    <t>Thruster location must be relative to COM/CG</t>
  </si>
  <si>
    <t>Moment/Torque contribution</t>
  </si>
  <si>
    <t>Thrust Unit Vector</t>
  </si>
  <si>
    <t>Length</t>
  </si>
  <si>
    <t>Matrix</t>
  </si>
  <si>
    <t>Pilot</t>
  </si>
  <si>
    <t>Fx</t>
  </si>
  <si>
    <t>Rz</t>
  </si>
  <si>
    <t>f1</t>
  </si>
  <si>
    <t>f2</t>
  </si>
  <si>
    <t>Tx</t>
  </si>
  <si>
    <t>Ty</t>
  </si>
  <si>
    <t>Tz</t>
  </si>
  <si>
    <t>Thrust</t>
  </si>
  <si>
    <t>Matrix Inverse</t>
  </si>
  <si>
    <t>2 DOF</t>
  </si>
  <si>
    <t>3 DOF</t>
  </si>
  <si>
    <t>Fz</t>
  </si>
  <si>
    <t>f3</t>
  </si>
  <si>
    <t>Sum</t>
  </si>
  <si>
    <t>Normalized</t>
  </si>
  <si>
    <t>Normalizer</t>
  </si>
  <si>
    <t>Check</t>
  </si>
  <si>
    <t>Req'd Thrust</t>
  </si>
  <si>
    <t>Pufferfish</t>
  </si>
  <si>
    <t>Voltage</t>
  </si>
  <si>
    <t>x = FWD; z = UP</t>
  </si>
  <si>
    <t>G17-G19 are the sums across the matrix rows</t>
  </si>
  <si>
    <t>One sum is the max that can be produced by all pertinent thrusters acting th a particular direction</t>
  </si>
  <si>
    <t xml:space="preserve">This, then is what is meant when the pilot requests +1 </t>
  </si>
  <si>
    <t xml:space="preserve"> So this times the pilot input between -/+1 becomes the RHS</t>
  </si>
  <si>
    <t>R17-R19 is the solution - what each thruster must produce.</t>
  </si>
  <si>
    <t>It's possible that the thruster will be asked to produce more than it is capable of</t>
  </si>
  <si>
    <t>And in dividing, the ratios of the thruster requirements are preserved</t>
  </si>
  <si>
    <t>Dividing each thruster requirement by the Normalizer insures that no thruster will be required to produce more than it is capable of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</si>
</sst>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9" tint="0.59996337778862885"/>
        <bgColor indexed="64"/>
      </patternFill>
    </fill>
  </fills>
  <borders count="13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164" fontId="0" fillId="0" borderId="0" xfId="0" applyNumberFormat="1"/>
    <xf numFmtId="0" fontId="1" fillId="0" borderId="0" xfId="0" applyFont="1" applyAlignment="1">
      <alignment horizontal="center"/>
    </xf>
    <xf numFmtId="0" fontId="1" fillId="0" borderId="0" xfId="0" applyFont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3" borderId="10" xfId="0" applyFill="1" applyBorder="1"/>
    <xf numFmtId="0" fontId="0" fillId="3" borderId="11" xfId="0" applyFill="1" applyBorder="1"/>
    <xf numFmtId="0" fontId="0" fillId="0" borderId="0" xfId="0" quotePrefix="1"/>
    <xf numFmtId="0" fontId="0" fillId="2" borderId="12" xfId="0" applyFill="1" applyBorder="1"/>
    <xf numFmtId="0" fontId="0" fillId="0" borderId="10" xfId="0" applyBorder="1"/>
    <xf numFmtId="0" fontId="0" fillId="0" borderId="12" xfId="0" applyBorder="1"/>
    <xf numFmtId="0" fontId="0" fillId="0" borderId="11" xfId="0" applyBorder="1"/>
    <xf numFmtId="0" fontId="1" fillId="0" borderId="0" xfId="0" applyFont="1" applyAlignment="1">
      <alignment horizontal="center"/>
    </xf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130B12-A63A-40D7-89FD-66BCB6D08B03}">
  <sheetPr codeName="Sheet1"/>
  <dimension ref="B2:W25"/>
  <sheetViews>
    <sheetView tabSelected="1" topLeftCell="A10" zoomScale="150" zoomScaleNormal="150" workbookViewId="0">
      <selection activeCell="N27" sqref="N27"/>
    </sheetView>
  </sheetViews>
  <sheetFormatPr defaultRowHeight="15" x14ac:dyDescent="0.25"/>
  <cols>
    <col min="7" max="7" width="2.5703125" customWidth="1"/>
    <col min="11" max="11" width="9.28515625" customWidth="1"/>
    <col min="15" max="15" width="2" customWidth="1"/>
    <col min="20" max="20" width="10.85546875" customWidth="1"/>
  </cols>
  <sheetData>
    <row r="2" spans="2:23" x14ac:dyDescent="0.25">
      <c r="C2" t="s">
        <v>7</v>
      </c>
      <c r="I2" s="3" t="s">
        <v>33</v>
      </c>
    </row>
    <row r="3" spans="2:23" x14ac:dyDescent="0.25">
      <c r="C3" t="s">
        <v>6</v>
      </c>
    </row>
    <row r="5" spans="2:23" x14ac:dyDescent="0.25">
      <c r="D5" s="22" t="s">
        <v>1</v>
      </c>
      <c r="E5" s="22"/>
      <c r="F5" s="22"/>
      <c r="G5" s="3"/>
      <c r="H5" s="3" t="s">
        <v>5</v>
      </c>
      <c r="I5" s="3"/>
      <c r="J5" s="3"/>
      <c r="K5" s="3" t="s">
        <v>10</v>
      </c>
      <c r="L5" s="22" t="s">
        <v>9</v>
      </c>
      <c r="M5" s="22"/>
      <c r="N5" s="22"/>
      <c r="O5" s="3"/>
      <c r="P5" s="3" t="s">
        <v>8</v>
      </c>
      <c r="Q5" s="3"/>
      <c r="R5" s="3"/>
    </row>
    <row r="6" spans="2:23" ht="15.75" thickBot="1" x14ac:dyDescent="0.3">
      <c r="C6" s="3" t="s">
        <v>0</v>
      </c>
      <c r="D6" s="2" t="s">
        <v>2</v>
      </c>
      <c r="E6" s="2" t="s">
        <v>3</v>
      </c>
      <c r="F6" s="2" t="s">
        <v>4</v>
      </c>
      <c r="G6" s="3"/>
      <c r="H6" s="2" t="s">
        <v>2</v>
      </c>
      <c r="I6" s="2" t="s">
        <v>3</v>
      </c>
      <c r="J6" s="2" t="s">
        <v>4</v>
      </c>
      <c r="K6" s="2"/>
      <c r="L6" s="2" t="s">
        <v>2</v>
      </c>
      <c r="M6" s="2" t="s">
        <v>3</v>
      </c>
      <c r="N6" s="2" t="s">
        <v>4</v>
      </c>
      <c r="O6" s="3"/>
      <c r="P6" s="3" t="s">
        <v>17</v>
      </c>
      <c r="Q6" s="3" t="s">
        <v>18</v>
      </c>
      <c r="R6" s="3" t="s">
        <v>19</v>
      </c>
    </row>
    <row r="7" spans="2:23" x14ac:dyDescent="0.25">
      <c r="C7">
        <v>1</v>
      </c>
      <c r="D7" s="4">
        <v>0</v>
      </c>
      <c r="E7" s="5">
        <v>1</v>
      </c>
      <c r="F7" s="6">
        <v>0</v>
      </c>
      <c r="H7" s="4">
        <v>1</v>
      </c>
      <c r="I7" s="5">
        <v>0</v>
      </c>
      <c r="J7" s="6">
        <v>0</v>
      </c>
      <c r="K7">
        <f>SQRT(H7^2+I7^2+J7^2)</f>
        <v>1</v>
      </c>
      <c r="L7">
        <f>H7/K7</f>
        <v>1</v>
      </c>
      <c r="M7">
        <f>I7/K7</f>
        <v>0</v>
      </c>
      <c r="N7">
        <f>J7/K7</f>
        <v>0</v>
      </c>
      <c r="P7">
        <f t="array" ref="P7:R7">CrossProduct(D7:F7,L7:N7)</f>
        <v>0</v>
      </c>
      <c r="Q7">
        <v>0</v>
      </c>
      <c r="R7">
        <v>-1</v>
      </c>
    </row>
    <row r="8" spans="2:23" x14ac:dyDescent="0.25">
      <c r="C8">
        <v>2</v>
      </c>
      <c r="D8" s="7">
        <v>0</v>
      </c>
      <c r="E8" s="8">
        <v>-1</v>
      </c>
      <c r="F8" s="9">
        <v>0</v>
      </c>
      <c r="H8" s="7">
        <v>1</v>
      </c>
      <c r="I8" s="8">
        <v>0</v>
      </c>
      <c r="J8" s="9">
        <v>0</v>
      </c>
      <c r="K8" s="1">
        <f>SQRT(H8^2+I8^2+J8^2)</f>
        <v>1</v>
      </c>
      <c r="L8">
        <f>H8/K8</f>
        <v>1</v>
      </c>
      <c r="M8">
        <f>I8/K8</f>
        <v>0</v>
      </c>
      <c r="N8">
        <f>J8/K8</f>
        <v>0</v>
      </c>
      <c r="P8">
        <f t="array" ref="P8:R8">CrossProduct(D8:F8,L8:N8)</f>
        <v>0</v>
      </c>
      <c r="Q8">
        <v>0</v>
      </c>
      <c r="R8">
        <v>1</v>
      </c>
    </row>
    <row r="9" spans="2:23" ht="15.75" thickBot="1" x14ac:dyDescent="0.3">
      <c r="C9">
        <v>3</v>
      </c>
      <c r="D9" s="10">
        <v>1</v>
      </c>
      <c r="E9" s="11">
        <v>0</v>
      </c>
      <c r="F9" s="12">
        <v>0</v>
      </c>
      <c r="H9" s="10">
        <v>0</v>
      </c>
      <c r="I9" s="11">
        <v>0</v>
      </c>
      <c r="J9" s="12">
        <v>1</v>
      </c>
      <c r="K9" s="1">
        <f>SQRT(H9^2+I9^2+J9^2)</f>
        <v>1</v>
      </c>
      <c r="L9">
        <f>H9/K9</f>
        <v>0</v>
      </c>
      <c r="M9">
        <f>I9/K9</f>
        <v>0</v>
      </c>
      <c r="N9">
        <f>J9/K9</f>
        <v>1</v>
      </c>
      <c r="P9">
        <f t="array" ref="P9:R9">CrossProduct(D9:F9,L9:N9)</f>
        <v>0</v>
      </c>
      <c r="Q9">
        <v>-1</v>
      </c>
      <c r="R9">
        <v>0</v>
      </c>
    </row>
    <row r="11" spans="2:23" ht="15.75" thickBot="1" x14ac:dyDescent="0.3">
      <c r="C11" t="s">
        <v>11</v>
      </c>
      <c r="G11" t="s">
        <v>26</v>
      </c>
      <c r="I11" t="s">
        <v>21</v>
      </c>
      <c r="M11" t="s">
        <v>12</v>
      </c>
      <c r="P11" t="s">
        <v>30</v>
      </c>
      <c r="R11" s="3" t="s">
        <v>20</v>
      </c>
    </row>
    <row r="12" spans="2:23" x14ac:dyDescent="0.25">
      <c r="B12" s="17" t="s">
        <v>22</v>
      </c>
      <c r="C12">
        <f>L7</f>
        <v>1</v>
      </c>
      <c r="D12">
        <f>L8</f>
        <v>1</v>
      </c>
      <c r="G12" cm="1">
        <f t="array" ref="G12">SUM(ABS(C12:D12))</f>
        <v>2</v>
      </c>
      <c r="I12" cm="1">
        <f t="array" ref="I12:J13">MINVERSE(C12:D13)</f>
        <v>0.5</v>
      </c>
      <c r="J12">
        <v>-0.5</v>
      </c>
      <c r="M12" s="13">
        <v>1</v>
      </c>
      <c r="N12" t="s">
        <v>13</v>
      </c>
      <c r="P12">
        <f>M12*G12</f>
        <v>2</v>
      </c>
      <c r="R12" s="15">
        <f t="array" ref="R12:R13">MMULT(MINVERSE(C12:D13),P12:P13)</f>
        <v>1</v>
      </c>
      <c r="S12" t="s">
        <v>15</v>
      </c>
    </row>
    <row r="13" spans="2:23" ht="15.75" thickBot="1" x14ac:dyDescent="0.3">
      <c r="C13">
        <f>R7</f>
        <v>-1</v>
      </c>
      <c r="D13">
        <f>R8</f>
        <v>1</v>
      </c>
      <c r="G13" cm="1">
        <f t="array" ref="G13">SUM(ABS(C13:D13))</f>
        <v>2</v>
      </c>
      <c r="I13">
        <v>0.5</v>
      </c>
      <c r="J13">
        <v>0.5</v>
      </c>
      <c r="M13" s="14">
        <v>0</v>
      </c>
      <c r="N13" t="s">
        <v>14</v>
      </c>
      <c r="P13">
        <f>M13*G13</f>
        <v>0</v>
      </c>
      <c r="R13" s="16">
        <v>1</v>
      </c>
      <c r="S13" t="s">
        <v>16</v>
      </c>
    </row>
    <row r="15" spans="2:23" x14ac:dyDescent="0.25">
      <c r="B15" s="3" t="s">
        <v>31</v>
      </c>
      <c r="U15" t="s">
        <v>27</v>
      </c>
    </row>
    <row r="16" spans="2:23" ht="15.75" thickBot="1" x14ac:dyDescent="0.3">
      <c r="C16" t="s">
        <v>11</v>
      </c>
      <c r="G16" t="s">
        <v>26</v>
      </c>
      <c r="I16" t="s">
        <v>21</v>
      </c>
      <c r="M16" t="s">
        <v>12</v>
      </c>
      <c r="P16" t="s">
        <v>30</v>
      </c>
      <c r="R16" t="s">
        <v>20</v>
      </c>
      <c r="T16" t="s">
        <v>28</v>
      </c>
      <c r="U16" t="s">
        <v>20</v>
      </c>
      <c r="W16" t="s">
        <v>32</v>
      </c>
    </row>
    <row r="17" spans="2:23" x14ac:dyDescent="0.25">
      <c r="B17" s="17" t="s">
        <v>23</v>
      </c>
      <c r="C17">
        <f>L7</f>
        <v>1</v>
      </c>
      <c r="D17">
        <f>L8</f>
        <v>1</v>
      </c>
      <c r="E17">
        <f>L9</f>
        <v>0</v>
      </c>
      <c r="G17" cm="1">
        <f t="array" ref="G17">SUM(ABS(C17:E17))</f>
        <v>2</v>
      </c>
      <c r="I17">
        <f t="array" ref="I17:K19">MINVERSE(C17:E19)</f>
        <v>0.5</v>
      </c>
      <c r="J17">
        <v>0</v>
      </c>
      <c r="K17">
        <v>-0.5</v>
      </c>
      <c r="M17" s="13">
        <v>-1</v>
      </c>
      <c r="N17" t="s">
        <v>13</v>
      </c>
      <c r="P17">
        <f>M17*G17</f>
        <v>-2</v>
      </c>
      <c r="R17" s="19" cm="1">
        <f t="array" ref="R17:R19">MMULT(I17:K19,P17:P19)</f>
        <v>-1</v>
      </c>
      <c r="S17" t="s">
        <v>15</v>
      </c>
      <c r="T17" cm="1">
        <f t="array" ref="T17">IF(MAX(ABS(_xlfn.ANCHORARRAY(R17)))&gt;1,MAX(ABS(_xlfn.ANCHORARRAY(R17))),1)</f>
        <v>1</v>
      </c>
      <c r="U17" s="19">
        <f>R17/T$17</f>
        <v>-1</v>
      </c>
      <c r="W17">
        <f>U17*12</f>
        <v>-12</v>
      </c>
    </row>
    <row r="18" spans="2:23" x14ac:dyDescent="0.25">
      <c r="C18">
        <f>N7</f>
        <v>0</v>
      </c>
      <c r="D18">
        <f>N8</f>
        <v>0</v>
      </c>
      <c r="E18">
        <f>N9</f>
        <v>1</v>
      </c>
      <c r="G18" cm="1">
        <f t="array" ref="G18">SUM(ABS(C18:E18))</f>
        <v>1</v>
      </c>
      <c r="I18">
        <v>0.5</v>
      </c>
      <c r="J18">
        <v>0</v>
      </c>
      <c r="K18">
        <v>0.5</v>
      </c>
      <c r="M18" s="18">
        <v>0</v>
      </c>
      <c r="N18" t="s">
        <v>24</v>
      </c>
      <c r="P18">
        <f t="shared" ref="P18:P19" si="0">M18*G18</f>
        <v>0</v>
      </c>
      <c r="R18" s="20">
        <v>-1</v>
      </c>
      <c r="S18" t="s">
        <v>16</v>
      </c>
      <c r="U18" s="20">
        <f t="shared" ref="U18:U19" si="1">R18/T$17</f>
        <v>-1</v>
      </c>
      <c r="W18">
        <f t="shared" ref="W18:W19" si="2">U18*12</f>
        <v>-12</v>
      </c>
    </row>
    <row r="19" spans="2:23" ht="15.75" thickBot="1" x14ac:dyDescent="0.3">
      <c r="C19">
        <f>R7</f>
        <v>-1</v>
      </c>
      <c r="D19">
        <f>R8</f>
        <v>1</v>
      </c>
      <c r="E19">
        <f>R9</f>
        <v>0</v>
      </c>
      <c r="G19" cm="1">
        <f t="array" ref="G19">SUM(ABS(C19:E19))</f>
        <v>2</v>
      </c>
      <c r="I19">
        <v>0</v>
      </c>
      <c r="J19">
        <v>1</v>
      </c>
      <c r="K19">
        <v>0</v>
      </c>
      <c r="M19" s="14">
        <v>0</v>
      </c>
      <c r="N19" t="s">
        <v>14</v>
      </c>
      <c r="P19">
        <f t="shared" si="0"/>
        <v>0</v>
      </c>
      <c r="R19" s="21">
        <v>0</v>
      </c>
      <c r="S19" t="s">
        <v>25</v>
      </c>
      <c r="U19" s="21">
        <f t="shared" si="1"/>
        <v>0</v>
      </c>
      <c r="W19">
        <f t="shared" si="2"/>
        <v>0</v>
      </c>
    </row>
    <row r="21" spans="2:23" x14ac:dyDescent="0.25">
      <c r="P21" t="s">
        <v>29</v>
      </c>
    </row>
    <row r="22" spans="2:23" x14ac:dyDescent="0.25">
      <c r="D22" t="s">
        <v>34</v>
      </c>
      <c r="P22">
        <f t="array" ref="P22:P24">MMULT(C17:E19,R17:R19)</f>
        <v>-2</v>
      </c>
      <c r="R22" t="s">
        <v>38</v>
      </c>
    </row>
    <row r="23" spans="2:23" x14ac:dyDescent="0.25">
      <c r="D23" t="s">
        <v>35</v>
      </c>
      <c r="P23">
        <v>0</v>
      </c>
      <c r="R23" t="s">
        <v>39</v>
      </c>
    </row>
    <row r="24" spans="2:23" x14ac:dyDescent="0.25">
      <c r="D24" t="s">
        <v>36</v>
      </c>
      <c r="P24">
        <v>0</v>
      </c>
      <c r="R24" t="s">
        <v>41</v>
      </c>
    </row>
    <row r="25" spans="2:23" x14ac:dyDescent="0.25">
      <c r="D25" t="s">
        <v>37</v>
      </c>
      <c r="R25" t="s">
        <v>40</v>
      </c>
    </row>
  </sheetData>
  <mergeCells count="2">
    <mergeCell ref="D5:F5"/>
    <mergeCell ref="L5:N5"/>
  </mergeCells>
  <conditionalFormatting sqref="U17:U19">
    <cfRule type="expression" dxfId="4" priority="6">
      <formula>$T$17&gt;1</formula>
    </cfRule>
  </conditionalFormatting>
  <conditionalFormatting sqref="R17:R19">
    <cfRule type="expression" dxfId="3" priority="5">
      <formula>$T$17=1</formula>
    </cfRule>
  </conditionalFormatting>
  <conditionalFormatting sqref="R17">
    <cfRule type="expression" dxfId="2" priority="4">
      <formula>ABS($R$17)&gt;1</formula>
    </cfRule>
  </conditionalFormatting>
  <conditionalFormatting sqref="R18">
    <cfRule type="expression" dxfId="1" priority="2">
      <formula>ABS($R$18)&gt;1</formula>
    </cfRule>
  </conditionalFormatting>
  <conditionalFormatting sqref="R19">
    <cfRule type="expression" dxfId="0" priority="1">
      <formula>ABS($R$19)&gt;1</formula>
    </cfRule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Sergev</dc:creator>
  <cp:lastModifiedBy>Andrew Balaschak</cp:lastModifiedBy>
  <dcterms:created xsi:type="dcterms:W3CDTF">2023-11-07T03:53:25Z</dcterms:created>
  <dcterms:modified xsi:type="dcterms:W3CDTF">2024-02-18T04:27:08Z</dcterms:modified>
</cp:coreProperties>
</file>